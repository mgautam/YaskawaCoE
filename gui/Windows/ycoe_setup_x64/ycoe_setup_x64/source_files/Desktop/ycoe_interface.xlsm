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27795" windowHeight="12585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B33" i="1" l="1"/>
  <c r="B32" i="1"/>
  <c r="B31" i="1"/>
  <c r="B30" i="1"/>
  <c r="B29" i="1"/>
  <c r="B28" i="1"/>
  <c r="B27" i="1"/>
  <c r="B26" i="1"/>
  <c r="C33" i="1"/>
  <c r="C32" i="1"/>
  <c r="C31" i="1"/>
  <c r="C30" i="1"/>
  <c r="C29" i="1"/>
  <c r="C28" i="1"/>
  <c r="C27" i="1"/>
  <c r="C26" i="1"/>
  <c r="K33" i="1"/>
  <c r="K32" i="1"/>
  <c r="K31" i="1"/>
  <c r="K30" i="1"/>
  <c r="K29" i="1"/>
  <c r="K28" i="1"/>
  <c r="K27" i="1"/>
  <c r="K26" i="1"/>
  <c r="J33" i="1"/>
  <c r="J32" i="1"/>
  <c r="J31" i="1"/>
  <c r="J30" i="1"/>
  <c r="J29" i="1"/>
  <c r="J28" i="1"/>
  <c r="J27" i="1"/>
  <c r="J26" i="1"/>
  <c r="G27" i="1"/>
  <c r="G28" i="1"/>
  <c r="G29" i="1"/>
  <c r="G30" i="1"/>
  <c r="G31" i="1"/>
  <c r="G32" i="1"/>
  <c r="G33" i="1"/>
  <c r="G26" i="1"/>
  <c r="H7" i="1"/>
  <c r="D7" i="1"/>
  <c r="P13" i="1" l="1"/>
  <c r="O13" i="1"/>
  <c r="P7" i="1"/>
  <c r="O7" i="1"/>
  <c r="C7" i="1"/>
  <c r="G5" i="1" l="1"/>
  <c r="C5" i="1"/>
  <c r="H5" i="1"/>
  <c r="D5" i="1"/>
  <c r="G8" i="1" l="1"/>
  <c r="G7" i="1"/>
  <c r="G4" i="1"/>
  <c r="C8" i="1"/>
  <c r="C4" i="1"/>
  <c r="F11" i="1"/>
  <c r="F10" i="1"/>
  <c r="B11" i="1"/>
  <c r="B10" i="1"/>
  <c r="D4" i="1"/>
  <c r="D8" i="1"/>
  <c r="H4" i="1"/>
  <c r="H8" i="1"/>
</calcChain>
</file>

<file path=xl/sharedStrings.xml><?xml version="1.0" encoding="utf-8"?>
<sst xmlns="http://schemas.openxmlformats.org/spreadsheetml/2006/main" count="51" uniqueCount="37">
  <si>
    <t>Velocity</t>
  </si>
  <si>
    <t>Acceleration</t>
  </si>
  <si>
    <t>Version</t>
  </si>
  <si>
    <t>Command Absolute</t>
  </si>
  <si>
    <t>Command Relative</t>
  </si>
  <si>
    <t>Current Position</t>
  </si>
  <si>
    <t>Target Position</t>
  </si>
  <si>
    <t>Slave 1</t>
  </si>
  <si>
    <t>Slave 2</t>
  </si>
  <si>
    <t>Connection Status</t>
  </si>
  <si>
    <t>Revolutions</t>
  </si>
  <si>
    <t>RPM</t>
  </si>
  <si>
    <t>Counts/Sec</t>
  </si>
  <si>
    <t>Counts</t>
  </si>
  <si>
    <t>Feedback</t>
  </si>
  <si>
    <t>RIO</t>
  </si>
  <si>
    <t>Slavecount</t>
  </si>
  <si>
    <t>SlaveIndex</t>
  </si>
  <si>
    <t>Controlword</t>
  </si>
  <si>
    <t>Statusword</t>
  </si>
  <si>
    <t>FF</t>
  </si>
  <si>
    <t>TargetPosition</t>
  </si>
  <si>
    <t>ActualPosition</t>
  </si>
  <si>
    <t>2F</t>
  </si>
  <si>
    <t>Digital Inputs</t>
  </si>
  <si>
    <t>Digital Outputs</t>
  </si>
  <si>
    <t>Byte1</t>
  </si>
  <si>
    <t>Byte2</t>
  </si>
  <si>
    <t>Value</t>
  </si>
  <si>
    <t>Analog Inputs</t>
  </si>
  <si>
    <t>iBytesCount</t>
  </si>
  <si>
    <t>oBytesCount</t>
  </si>
  <si>
    <t>Bytes</t>
  </si>
  <si>
    <t>Result</t>
  </si>
  <si>
    <t>ConnectedTime(secs)</t>
  </si>
  <si>
    <t>Actual Positions</t>
  </si>
  <si>
    <t>Target Positions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</si>
</sst>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1" xfId="0" applyBorder="1"/>
    <xf numFmtId="0" fontId="2" fillId="0" borderId="1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2" fillId="0" borderId="6" xfId="0" applyFont="1" applyBorder="1"/>
    <xf numFmtId="0" fontId="0" fillId="0" borderId="7" xfId="0" applyBorder="1"/>
    <xf numFmtId="0" fontId="0" fillId="0" borderId="1" xfId="0" applyBorder="1" applyAlignment="1">
      <alignment horizontal="center" vertical="center"/>
    </xf>
    <xf numFmtId="0" fontId="3" fillId="0" borderId="0" xfId="0" applyFont="1"/>
    <xf numFmtId="2" fontId="0" fillId="0" borderId="0" xfId="0" applyNumberFormat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16</xdr:row>
          <xdr:rowOff>19050</xdr:rowOff>
        </xdr:from>
        <xdr:to>
          <xdr:col>2</xdr:col>
          <xdr:colOff>352425</xdr:colOff>
          <xdr:row>18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Disconnect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16</xdr:row>
          <xdr:rowOff>28575</xdr:rowOff>
        </xdr:from>
        <xdr:to>
          <xdr:col>0</xdr:col>
          <xdr:colOff>1171575</xdr:colOff>
          <xdr:row>18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Connect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9</xdr:row>
          <xdr:rowOff>9525</xdr:rowOff>
        </xdr:from>
        <xdr:to>
          <xdr:col>0</xdr:col>
          <xdr:colOff>1238250</xdr:colOff>
          <xdr:row>10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Target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10</xdr:row>
          <xdr:rowOff>19050</xdr:rowOff>
        </xdr:from>
        <xdr:to>
          <xdr:col>0</xdr:col>
          <xdr:colOff>1238250</xdr:colOff>
          <xdr:row>11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Current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333375</xdr:colOff>
          <xdr:row>8</xdr:row>
          <xdr:rowOff>161925</xdr:rowOff>
        </xdr:from>
        <xdr:to>
          <xdr:col>5</xdr:col>
          <xdr:colOff>57150</xdr:colOff>
          <xdr:row>9</xdr:row>
          <xdr:rowOff>180975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Target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333375</xdr:colOff>
          <xdr:row>10</xdr:row>
          <xdr:rowOff>0</xdr:rowOff>
        </xdr:from>
        <xdr:to>
          <xdr:col>5</xdr:col>
          <xdr:colOff>57150</xdr:colOff>
          <xdr:row>10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Current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12</xdr:row>
          <xdr:rowOff>0</xdr:rowOff>
        </xdr:from>
        <xdr:to>
          <xdr:col>4</xdr:col>
          <xdr:colOff>523875</xdr:colOff>
          <xdr:row>14</xdr:row>
          <xdr:rowOff>104775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31</xdr:row>
          <xdr:rowOff>9525</xdr:rowOff>
        </xdr:from>
        <xdr:to>
          <xdr:col>8</xdr:col>
          <xdr:colOff>1095375</xdr:colOff>
          <xdr:row>31</xdr:row>
          <xdr:rowOff>180975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O2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30</xdr:row>
          <xdr:rowOff>9525</xdr:rowOff>
        </xdr:from>
        <xdr:to>
          <xdr:col>8</xdr:col>
          <xdr:colOff>1095375</xdr:colOff>
          <xdr:row>30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O3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400050</xdr:colOff>
          <xdr:row>29</xdr:row>
          <xdr:rowOff>9525</xdr:rowOff>
        </xdr:from>
        <xdr:to>
          <xdr:col>8</xdr:col>
          <xdr:colOff>1085850</xdr:colOff>
          <xdr:row>29</xdr:row>
          <xdr:rowOff>180975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O4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400050</xdr:colOff>
          <xdr:row>28</xdr:row>
          <xdr:rowOff>9525</xdr:rowOff>
        </xdr:from>
        <xdr:to>
          <xdr:col>8</xdr:col>
          <xdr:colOff>1085850</xdr:colOff>
          <xdr:row>28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O5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400050</xdr:colOff>
          <xdr:row>27</xdr:row>
          <xdr:rowOff>9525</xdr:rowOff>
        </xdr:from>
        <xdr:to>
          <xdr:col>8</xdr:col>
          <xdr:colOff>1085850</xdr:colOff>
          <xdr:row>27</xdr:row>
          <xdr:rowOff>180975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O6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29</xdr:row>
          <xdr:rowOff>28575</xdr:rowOff>
        </xdr:from>
        <xdr:to>
          <xdr:col>13</xdr:col>
          <xdr:colOff>200025</xdr:colOff>
          <xdr:row>30</xdr:row>
          <xdr:rowOff>9525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O12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28</xdr:row>
          <xdr:rowOff>38100</xdr:rowOff>
        </xdr:from>
        <xdr:to>
          <xdr:col>13</xdr:col>
          <xdr:colOff>200025</xdr:colOff>
          <xdr:row>29</xdr:row>
          <xdr:rowOff>9525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O13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27</xdr:row>
          <xdr:rowOff>38100</xdr:rowOff>
        </xdr:from>
        <xdr:to>
          <xdr:col>13</xdr:col>
          <xdr:colOff>200025</xdr:colOff>
          <xdr:row>28</xdr:row>
          <xdr:rowOff>9525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O14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26</xdr:row>
          <xdr:rowOff>19050</xdr:rowOff>
        </xdr:from>
        <xdr:to>
          <xdr:col>13</xdr:col>
          <xdr:colOff>200025</xdr:colOff>
          <xdr:row>27</xdr:row>
          <xdr:rowOff>9525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O15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25</xdr:row>
          <xdr:rowOff>28575</xdr:rowOff>
        </xdr:from>
        <xdr:to>
          <xdr:col>13</xdr:col>
          <xdr:colOff>200025</xdr:colOff>
          <xdr:row>26</xdr:row>
          <xdr:rowOff>9525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O16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400050</xdr:colOff>
          <xdr:row>26</xdr:row>
          <xdr:rowOff>9525</xdr:rowOff>
        </xdr:from>
        <xdr:to>
          <xdr:col>8</xdr:col>
          <xdr:colOff>1085850</xdr:colOff>
          <xdr:row>26</xdr:row>
          <xdr:rowOff>180975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O7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400050</xdr:colOff>
          <xdr:row>25</xdr:row>
          <xdr:rowOff>9525</xdr:rowOff>
        </xdr:from>
        <xdr:to>
          <xdr:col>8</xdr:col>
          <xdr:colOff>1085850</xdr:colOff>
          <xdr:row>25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O8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32</xdr:row>
          <xdr:rowOff>28575</xdr:rowOff>
        </xdr:from>
        <xdr:to>
          <xdr:col>13</xdr:col>
          <xdr:colOff>200025</xdr:colOff>
          <xdr:row>33</xdr:row>
          <xdr:rowOff>9525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O9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31</xdr:row>
          <xdr:rowOff>38100</xdr:rowOff>
        </xdr:from>
        <xdr:to>
          <xdr:col>13</xdr:col>
          <xdr:colOff>200025</xdr:colOff>
          <xdr:row>32</xdr:row>
          <xdr:rowOff>9525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O10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30</xdr:row>
          <xdr:rowOff>38100</xdr:rowOff>
        </xdr:from>
        <xdr:to>
          <xdr:col>13</xdr:col>
          <xdr:colOff>200025</xdr:colOff>
          <xdr:row>31</xdr:row>
          <xdr:rowOff>9525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O11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34"/>
  <sheetViews>
    <sheetView tabSelected="1" workbookViewId="0">
      <selection activeCell="D23" sqref="D23"/>
    </sheetView>
  </sheetViews>
  <sheetFormatPr defaultRowHeight="15" x14ac:dyDescent="0.25"/>
  <cols>
    <col min="1" max="1" width="18.7109375" bestFit="1" customWidth="1"/>
    <col min="2" max="3" width="12" bestFit="1" customWidth="1"/>
    <col min="4" max="4" width="11.7109375" bestFit="1" customWidth="1"/>
    <col min="6" max="6" width="11.5703125" bestFit="1" customWidth="1"/>
    <col min="7" max="7" width="11" bestFit="1" customWidth="1"/>
    <col min="8" max="8" width="11.7109375" bestFit="1" customWidth="1"/>
    <col min="9" max="9" width="18.7109375" bestFit="1" customWidth="1"/>
    <col min="11" max="11" width="14" bestFit="1" customWidth="1"/>
    <col min="15" max="16" width="11" bestFit="1" customWidth="1"/>
  </cols>
  <sheetData>
    <row r="1" spans="1:16" x14ac:dyDescent="0.25">
      <c r="A1" t="s">
        <v>2</v>
      </c>
      <c r="B1" s="12">
        <v>3</v>
      </c>
      <c r="K1" t="s">
        <v>16</v>
      </c>
      <c r="L1">
        <v>255</v>
      </c>
    </row>
    <row r="2" spans="1:16" x14ac:dyDescent="0.25">
      <c r="B2" s="14" t="s">
        <v>7</v>
      </c>
      <c r="C2" s="14"/>
      <c r="D2" s="14"/>
      <c r="F2" s="14" t="s">
        <v>8</v>
      </c>
      <c r="G2" s="14"/>
      <c r="H2" s="14"/>
      <c r="K2" s="1" t="s">
        <v>17</v>
      </c>
      <c r="L2" s="1">
        <v>1</v>
      </c>
      <c r="M2" s="7">
        <v>2</v>
      </c>
      <c r="N2" s="9"/>
    </row>
    <row r="3" spans="1:16" x14ac:dyDescent="0.25">
      <c r="B3" s="1" t="s">
        <v>11</v>
      </c>
      <c r="C3" s="1" t="s">
        <v>12</v>
      </c>
      <c r="D3" s="1" t="s">
        <v>14</v>
      </c>
      <c r="F3" s="1" t="s">
        <v>11</v>
      </c>
      <c r="G3" s="1" t="s">
        <v>12</v>
      </c>
      <c r="H3" s="1" t="s">
        <v>14</v>
      </c>
      <c r="K3" s="1" t="s">
        <v>30</v>
      </c>
      <c r="L3" s="1">
        <v>6</v>
      </c>
      <c r="M3" s="7">
        <v>6</v>
      </c>
      <c r="N3" s="9"/>
    </row>
    <row r="4" spans="1:16" x14ac:dyDescent="0.25">
      <c r="A4" s="1" t="s">
        <v>0</v>
      </c>
      <c r="B4" s="1">
        <v>1000</v>
      </c>
      <c r="C4" s="1">
        <f>B4*1048576/60</f>
        <v>17476266.666666668</v>
      </c>
      <c r="D4" s="1">
        <f>set_speed(1,C4)</f>
        <v>17476267</v>
      </c>
      <c r="F4" s="1">
        <v>1000</v>
      </c>
      <c r="G4" s="1">
        <f>F4*1048576/60</f>
        <v>17476266.666666668</v>
      </c>
      <c r="H4" s="1">
        <f>set_speed(2,G4)</f>
        <v>17476267</v>
      </c>
      <c r="I4" s="1" t="s">
        <v>0</v>
      </c>
      <c r="K4" s="1" t="s">
        <v>31</v>
      </c>
      <c r="L4" s="1">
        <v>6</v>
      </c>
      <c r="M4" s="7">
        <v>6</v>
      </c>
      <c r="N4" s="9"/>
    </row>
    <row r="5" spans="1:16" x14ac:dyDescent="0.25">
      <c r="A5" s="1" t="s">
        <v>1</v>
      </c>
      <c r="B5" s="1">
        <v>100</v>
      </c>
      <c r="C5" s="1">
        <f>B5*1048576/60</f>
        <v>1747626.6666666667</v>
      </c>
      <c r="D5" s="1">
        <f>set_acceleration(1,C5)</f>
        <v>1747627</v>
      </c>
      <c r="F5" s="1">
        <v>1024</v>
      </c>
      <c r="G5" s="1">
        <f>F5*1048576/60</f>
        <v>17895697.066666666</v>
      </c>
      <c r="H5" s="1">
        <f>set_acceleration(2,G5)</f>
        <v>17895697</v>
      </c>
      <c r="I5" s="1" t="s">
        <v>1</v>
      </c>
      <c r="K5" s="1" t="s">
        <v>18</v>
      </c>
      <c r="L5" s="2">
        <v>37</v>
      </c>
      <c r="M5" s="8">
        <v>37</v>
      </c>
      <c r="N5" s="9"/>
    </row>
    <row r="6" spans="1:16" x14ac:dyDescent="0.25">
      <c r="B6" s="1" t="s">
        <v>10</v>
      </c>
      <c r="C6" s="1" t="s">
        <v>13</v>
      </c>
      <c r="D6" s="1" t="s">
        <v>14</v>
      </c>
      <c r="F6" s="1" t="s">
        <v>10</v>
      </c>
      <c r="G6" s="1" t="s">
        <v>13</v>
      </c>
      <c r="H6" s="1" t="s">
        <v>14</v>
      </c>
      <c r="K6" s="1"/>
      <c r="L6" s="2">
        <v>6</v>
      </c>
      <c r="M6" s="8">
        <v>6</v>
      </c>
      <c r="N6" s="9"/>
      <c r="O6" s="14" t="s">
        <v>36</v>
      </c>
      <c r="P6" s="14"/>
    </row>
    <row r="7" spans="1:16" x14ac:dyDescent="0.25">
      <c r="A7" s="1" t="s">
        <v>3</v>
      </c>
      <c r="B7" s="1">
        <v>100</v>
      </c>
      <c r="C7" s="1">
        <f>B7*1048576</f>
        <v>104857600</v>
      </c>
      <c r="D7" s="1">
        <f>goto_abspos(1,C7)</f>
        <v>104857600</v>
      </c>
      <c r="F7" s="1">
        <v>10</v>
      </c>
      <c r="G7" s="1">
        <f>F7*1048576</f>
        <v>10485760</v>
      </c>
      <c r="H7" s="1">
        <f>goto_abspos(2,G7)</f>
        <v>10485760</v>
      </c>
      <c r="I7" s="1" t="s">
        <v>3</v>
      </c>
      <c r="K7" s="4" t="s">
        <v>21</v>
      </c>
      <c r="L7" s="1">
        <v>0</v>
      </c>
      <c r="M7" s="7">
        <v>255</v>
      </c>
      <c r="N7" s="9"/>
      <c r="O7" s="1">
        <f>((L10*256+L9)*256+L8)*256+L7</f>
        <v>104857600</v>
      </c>
      <c r="P7" s="1">
        <f>((M10*256+M9)*256+M8)*256+M7</f>
        <v>10485759</v>
      </c>
    </row>
    <row r="8" spans="1:16" x14ac:dyDescent="0.25">
      <c r="A8" s="1" t="s">
        <v>4</v>
      </c>
      <c r="B8" s="1">
        <v>-1500</v>
      </c>
      <c r="C8" s="1">
        <f>B8*1048576</f>
        <v>-1572864000</v>
      </c>
      <c r="D8" s="1">
        <f>goto_relpos(1,C8)</f>
        <v>-1468006400</v>
      </c>
      <c r="F8" s="1">
        <v>10</v>
      </c>
      <c r="G8" s="1">
        <f>F8*1048576</f>
        <v>10485760</v>
      </c>
      <c r="H8" s="1">
        <f>goto_relpos(2,G8)</f>
        <v>-1457520640</v>
      </c>
      <c r="I8" s="1" t="s">
        <v>4</v>
      </c>
      <c r="K8" s="4"/>
      <c r="L8" s="3">
        <v>0</v>
      </c>
      <c r="M8" s="7">
        <v>255</v>
      </c>
      <c r="N8" s="9"/>
    </row>
    <row r="9" spans="1:16" x14ac:dyDescent="0.25">
      <c r="K9" s="5"/>
      <c r="L9" s="3">
        <v>64</v>
      </c>
      <c r="M9" s="7">
        <v>159</v>
      </c>
      <c r="N9" s="9"/>
    </row>
    <row r="10" spans="1:16" x14ac:dyDescent="0.25">
      <c r="A10" t="s">
        <v>6</v>
      </c>
      <c r="B10">
        <f>C10/1048576</f>
        <v>-1390</v>
      </c>
      <c r="C10">
        <v>-1457520640</v>
      </c>
      <c r="F10">
        <f>G10/1048576</f>
        <v>110</v>
      </c>
      <c r="G10">
        <v>115343360</v>
      </c>
      <c r="K10" s="6"/>
      <c r="L10" s="3">
        <v>6</v>
      </c>
      <c r="M10" s="7">
        <v>0</v>
      </c>
      <c r="N10" s="9"/>
    </row>
    <row r="11" spans="1:16" x14ac:dyDescent="0.25">
      <c r="A11" t="s">
        <v>5</v>
      </c>
      <c r="B11">
        <f>C11/1048576</f>
        <v>-1390.0000028610229</v>
      </c>
      <c r="C11">
        <v>-1457520643</v>
      </c>
      <c r="F11">
        <f>G11/1048576</f>
        <v>110.00000095367432</v>
      </c>
      <c r="G11">
        <v>115343361</v>
      </c>
      <c r="K11" s="6" t="s">
        <v>19</v>
      </c>
      <c r="L11" s="2" t="s">
        <v>23</v>
      </c>
      <c r="M11" s="8" t="s">
        <v>23</v>
      </c>
      <c r="N11" s="9"/>
    </row>
    <row r="12" spans="1:16" x14ac:dyDescent="0.25">
      <c r="K12" s="1"/>
      <c r="L12" s="2">
        <v>0</v>
      </c>
      <c r="M12" s="8">
        <v>0</v>
      </c>
      <c r="N12" s="9"/>
      <c r="O12" s="14" t="s">
        <v>35</v>
      </c>
      <c r="P12" s="14"/>
    </row>
    <row r="13" spans="1:16" x14ac:dyDescent="0.25">
      <c r="K13" s="4" t="s">
        <v>22</v>
      </c>
      <c r="L13" s="1">
        <v>0</v>
      </c>
      <c r="M13" s="7">
        <v>0</v>
      </c>
      <c r="N13" s="9"/>
      <c r="O13" s="1">
        <f>((L16*256+L15)*256+L14)*256+L13</f>
        <v>104857600</v>
      </c>
      <c r="P13" s="1">
        <f>((M16*256+M15)*256+M14)*256+M13</f>
        <v>10485760</v>
      </c>
    </row>
    <row r="14" spans="1:16" x14ac:dyDescent="0.25">
      <c r="K14" s="4"/>
      <c r="L14" s="3">
        <v>0</v>
      </c>
      <c r="M14" s="7">
        <v>0</v>
      </c>
      <c r="N14" s="9"/>
    </row>
    <row r="15" spans="1:16" x14ac:dyDescent="0.25">
      <c r="K15" s="5"/>
      <c r="L15" s="3">
        <v>64</v>
      </c>
      <c r="M15" s="7">
        <v>160</v>
      </c>
      <c r="N15" s="9"/>
    </row>
    <row r="16" spans="1:16" x14ac:dyDescent="0.25">
      <c r="A16" t="s">
        <v>9</v>
      </c>
      <c r="B16">
        <v>0</v>
      </c>
      <c r="I16" s="13"/>
      <c r="K16" s="6"/>
      <c r="L16" s="3">
        <v>6</v>
      </c>
      <c r="M16" s="7">
        <v>0</v>
      </c>
      <c r="N16" s="9"/>
    </row>
    <row r="20" spans="1:12" x14ac:dyDescent="0.25">
      <c r="A20" s="1" t="s">
        <v>34</v>
      </c>
      <c r="B20">
        <v>-1</v>
      </c>
    </row>
    <row r="22" spans="1:12" ht="23.25" x14ac:dyDescent="0.35">
      <c r="A22" s="11" t="s">
        <v>15</v>
      </c>
    </row>
    <row r="24" spans="1:12" x14ac:dyDescent="0.25">
      <c r="A24" s="15" t="s">
        <v>24</v>
      </c>
      <c r="B24" s="16"/>
      <c r="C24" s="17"/>
      <c r="E24" s="14" t="s">
        <v>29</v>
      </c>
      <c r="F24" s="14"/>
      <c r="G24" s="14"/>
      <c r="I24" s="14" t="s">
        <v>25</v>
      </c>
      <c r="J24" s="14"/>
      <c r="K24" s="14"/>
    </row>
    <row r="25" spans="1:12" x14ac:dyDescent="0.25">
      <c r="A25" s="1" t="s">
        <v>32</v>
      </c>
      <c r="B25" s="1" t="s">
        <v>20</v>
      </c>
      <c r="C25" s="1" t="s">
        <v>20</v>
      </c>
      <c r="E25" s="10" t="s">
        <v>26</v>
      </c>
      <c r="F25" s="10" t="s">
        <v>27</v>
      </c>
      <c r="G25" s="10" t="s">
        <v>28</v>
      </c>
      <c r="I25" s="1" t="s">
        <v>32</v>
      </c>
      <c r="J25" s="1">
        <v>0</v>
      </c>
      <c r="K25" s="1">
        <v>0</v>
      </c>
    </row>
    <row r="26" spans="1:12" x14ac:dyDescent="0.25">
      <c r="A26" s="1">
        <v>8</v>
      </c>
      <c r="B26" s="1" t="str">
        <f>MID(HEX2BIN(B25,8),1,1)</f>
        <v>1</v>
      </c>
      <c r="C26" s="1" t="str">
        <f>MID(HEX2BIN(C25,8),1,1)</f>
        <v>1</v>
      </c>
      <c r="E26" s="1">
        <v>48</v>
      </c>
      <c r="F26" s="1">
        <v>33</v>
      </c>
      <c r="G26" s="1">
        <f>10*(F26*256+E26)/32767</f>
        <v>2.5928525650807215</v>
      </c>
      <c r="I26" s="1">
        <v>8</v>
      </c>
      <c r="J26" s="1" t="str">
        <f>MID(HEX2BIN(J25,8),1,1)</f>
        <v>0</v>
      </c>
      <c r="K26" s="1" t="str">
        <f>MID(HEX2BIN(K25,8),1,1)</f>
        <v>0</v>
      </c>
      <c r="L26">
        <v>16</v>
      </c>
    </row>
    <row r="27" spans="1:12" x14ac:dyDescent="0.25">
      <c r="A27" s="1">
        <v>7</v>
      </c>
      <c r="B27" s="1" t="str">
        <f>MID(HEX2BIN(B25,8),2,1)</f>
        <v>1</v>
      </c>
      <c r="C27" s="1" t="str">
        <f>MID(HEX2BIN(C25,8),2,1)</f>
        <v>1</v>
      </c>
      <c r="E27" s="1">
        <v>48</v>
      </c>
      <c r="F27" s="1">
        <v>33</v>
      </c>
      <c r="G27" s="1">
        <f t="shared" ref="G27:G33" si="0">10*(F27*256+E27)/32767</f>
        <v>2.5928525650807215</v>
      </c>
      <c r="I27" s="1">
        <v>7</v>
      </c>
      <c r="J27" s="1" t="str">
        <f>MID(HEX2BIN(J25,8),2,1)</f>
        <v>0</v>
      </c>
      <c r="K27" s="1" t="str">
        <f>MID(HEX2BIN(K25,8),2,1)</f>
        <v>0</v>
      </c>
      <c r="L27">
        <v>15</v>
      </c>
    </row>
    <row r="28" spans="1:12" x14ac:dyDescent="0.25">
      <c r="A28" s="1">
        <v>6</v>
      </c>
      <c r="B28" s="1" t="str">
        <f>MID(HEX2BIN(B25,8),3,1)</f>
        <v>1</v>
      </c>
      <c r="C28" s="1" t="str">
        <f>MID(HEX2BIN(C25,8),3,1)</f>
        <v>1</v>
      </c>
      <c r="E28" s="1">
        <v>48</v>
      </c>
      <c r="F28" s="1">
        <v>33</v>
      </c>
      <c r="G28" s="1">
        <f t="shared" si="0"/>
        <v>2.5928525650807215</v>
      </c>
      <c r="I28" s="1">
        <v>6</v>
      </c>
      <c r="J28" s="1" t="str">
        <f>MID(HEX2BIN(J25,8),3,1)</f>
        <v>0</v>
      </c>
      <c r="K28" s="1" t="str">
        <f>MID(HEX2BIN(K25,8),3,1)</f>
        <v>0</v>
      </c>
      <c r="L28">
        <v>14</v>
      </c>
    </row>
    <row r="29" spans="1:12" x14ac:dyDescent="0.25">
      <c r="A29" s="1">
        <v>5</v>
      </c>
      <c r="B29" s="1" t="str">
        <f>MID(HEX2BIN(B25,8),4,1)</f>
        <v>1</v>
      </c>
      <c r="C29" s="1" t="str">
        <f>MID(HEX2BIN(C25,8),4,1)</f>
        <v>1</v>
      </c>
      <c r="E29" s="1">
        <v>48</v>
      </c>
      <c r="F29" s="1">
        <v>33</v>
      </c>
      <c r="G29" s="1">
        <f t="shared" si="0"/>
        <v>2.5928525650807215</v>
      </c>
      <c r="I29" s="1">
        <v>5</v>
      </c>
      <c r="J29" s="1" t="str">
        <f>MID(HEX2BIN(J25,8),4,1)</f>
        <v>0</v>
      </c>
      <c r="K29" s="1" t="str">
        <f>MID(HEX2BIN(K25,8),4,1)</f>
        <v>0</v>
      </c>
      <c r="L29">
        <v>13</v>
      </c>
    </row>
    <row r="30" spans="1:12" x14ac:dyDescent="0.25">
      <c r="A30" s="1">
        <v>4</v>
      </c>
      <c r="B30" s="1" t="str">
        <f>MID(HEX2BIN(B25,8),5,1)</f>
        <v>1</v>
      </c>
      <c r="C30" s="1" t="str">
        <f>MID(HEX2BIN(C25,8),5,1)</f>
        <v>1</v>
      </c>
      <c r="E30" s="1">
        <v>48</v>
      </c>
      <c r="F30" s="1">
        <v>33</v>
      </c>
      <c r="G30" s="1">
        <f t="shared" si="0"/>
        <v>2.5928525650807215</v>
      </c>
      <c r="I30" s="1">
        <v>4</v>
      </c>
      <c r="J30" s="1" t="str">
        <f>MID(HEX2BIN(J25,8),5,1)</f>
        <v>0</v>
      </c>
      <c r="K30" s="1" t="str">
        <f>MID(HEX2BIN(K25,8),5,1)</f>
        <v>0</v>
      </c>
      <c r="L30">
        <v>12</v>
      </c>
    </row>
    <row r="31" spans="1:12" x14ac:dyDescent="0.25">
      <c r="A31" s="1">
        <v>3</v>
      </c>
      <c r="B31" s="1" t="str">
        <f>MID(HEX2BIN(B25,8),6,1)</f>
        <v>1</v>
      </c>
      <c r="C31" s="1" t="str">
        <f>MID(HEX2BIN(C25,8),6,1)</f>
        <v>1</v>
      </c>
      <c r="E31" s="1">
        <v>48</v>
      </c>
      <c r="F31" s="1">
        <v>33</v>
      </c>
      <c r="G31" s="1">
        <f t="shared" si="0"/>
        <v>2.5928525650807215</v>
      </c>
      <c r="I31" s="1">
        <v>3</v>
      </c>
      <c r="J31" s="1" t="str">
        <f>MID(HEX2BIN(J25,8),6,1)</f>
        <v>0</v>
      </c>
      <c r="K31" s="1" t="str">
        <f>MID(HEX2BIN(K25,8),6,1)</f>
        <v>0</v>
      </c>
      <c r="L31">
        <v>11</v>
      </c>
    </row>
    <row r="32" spans="1:12" x14ac:dyDescent="0.25">
      <c r="A32" s="1">
        <v>2</v>
      </c>
      <c r="B32" s="1" t="str">
        <f>MID(HEX2BIN(B25,8),7,1)</f>
        <v>1</v>
      </c>
      <c r="C32" s="1" t="str">
        <f>MID(HEX2BIN(C25,8),7,1)</f>
        <v>1</v>
      </c>
      <c r="E32" s="1">
        <v>48</v>
      </c>
      <c r="F32" s="1">
        <v>33</v>
      </c>
      <c r="G32" s="1">
        <f t="shared" si="0"/>
        <v>2.5928525650807215</v>
      </c>
      <c r="I32" s="1">
        <v>2</v>
      </c>
      <c r="J32" s="1" t="str">
        <f>MID(HEX2BIN(J25,8),7,1)</f>
        <v>0</v>
      </c>
      <c r="K32" s="1" t="str">
        <f>MID(HEX2BIN(K25,8),7,1)</f>
        <v>0</v>
      </c>
      <c r="L32">
        <v>10</v>
      </c>
    </row>
    <row r="33" spans="1:12" x14ac:dyDescent="0.25">
      <c r="A33" s="1">
        <v>1</v>
      </c>
      <c r="B33" s="1" t="str">
        <f>MID(HEX2BIN(B25,8),8,1)</f>
        <v>1</v>
      </c>
      <c r="C33" s="1" t="str">
        <f>MID(HEX2BIN(C25,8),8,1)</f>
        <v>1</v>
      </c>
      <c r="E33" s="1">
        <v>48</v>
      </c>
      <c r="F33" s="1">
        <v>33</v>
      </c>
      <c r="G33" s="1">
        <f t="shared" si="0"/>
        <v>2.5928525650807215</v>
      </c>
      <c r="I33" s="1">
        <v>1</v>
      </c>
      <c r="J33" s="1" t="str">
        <f>MID(HEX2BIN(J25,8),8,1)</f>
        <v>0</v>
      </c>
      <c r="K33" s="1" t="str">
        <f>MID(HEX2BIN(K25,8),8,1)</f>
        <v>0</v>
      </c>
      <c r="L33">
        <v>9</v>
      </c>
    </row>
    <row r="34" spans="1:12" x14ac:dyDescent="0.25">
      <c r="I34" t="s">
        <v>33</v>
      </c>
      <c r="J34">
        <v>1</v>
      </c>
    </row>
  </sheetData>
  <mergeCells count="7">
    <mergeCell ref="O12:P12"/>
    <mergeCell ref="O6:P6"/>
    <mergeCell ref="I24:K24"/>
    <mergeCell ref="B2:D2"/>
    <mergeCell ref="F2:H2"/>
    <mergeCell ref="E24:G24"/>
    <mergeCell ref="A24:C2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isconnect_Click">
                <anchor moveWithCells="1" sizeWithCells="1">
                  <from>
                    <xdr:col>1</xdr:col>
                    <xdr:colOff>76200</xdr:colOff>
                    <xdr:row>16</xdr:row>
                    <xdr:rowOff>19050</xdr:rowOff>
                  </from>
                  <to>
                    <xdr:col>2</xdr:col>
                    <xdr:colOff>352425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nnect_Click">
                <anchor moveWithCells="1" sizeWithCells="1">
                  <from>
                    <xdr:col>0</xdr:col>
                    <xdr:colOff>123825</xdr:colOff>
                    <xdr:row>16</xdr:row>
                    <xdr:rowOff>28575</xdr:rowOff>
                  </from>
                  <to>
                    <xdr:col>0</xdr:col>
                    <xdr:colOff>1171575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GetTarPos1_Click">
                <anchor moveWithCells="1" sizeWithCells="1">
                  <from>
                    <xdr:col>0</xdr:col>
                    <xdr:colOff>28575</xdr:colOff>
                    <xdr:row>9</xdr:row>
                    <xdr:rowOff>9525</xdr:rowOff>
                  </from>
                  <to>
                    <xdr:col>0</xdr:col>
                    <xdr:colOff>1238250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GetCurPos1_Click">
                <anchor moveWithCells="1" sizeWithCells="1">
                  <from>
                    <xdr:col>0</xdr:col>
                    <xdr:colOff>19050</xdr:colOff>
                    <xdr:row>10</xdr:row>
                    <xdr:rowOff>19050</xdr:rowOff>
                  </from>
                  <to>
                    <xdr:col>0</xdr:col>
                    <xdr:colOff>1238250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GetTarPos2_Click">
                <anchor moveWithCells="1" sizeWithCells="1">
                  <from>
                    <xdr:col>3</xdr:col>
                    <xdr:colOff>333375</xdr:colOff>
                    <xdr:row>8</xdr:row>
                    <xdr:rowOff>161925</xdr:rowOff>
                  </from>
                  <to>
                    <xdr:col>5</xdr:col>
                    <xdr:colOff>57150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GetCurPos2_Click">
                <anchor moveWithCells="1" sizeWithCells="1">
                  <from>
                    <xdr:col>3</xdr:col>
                    <xdr:colOff>333375</xdr:colOff>
                    <xdr:row>10</xdr:row>
                    <xdr:rowOff>0</xdr:rowOff>
                  </from>
                  <to>
                    <xdr:col>5</xdr:col>
                    <xdr:colOff>57150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Stop_Click">
                <anchor moveWithCells="1" sizeWithCells="1">
                  <from>
                    <xdr:col>1</xdr:col>
                    <xdr:colOff>85725</xdr:colOff>
                    <xdr:row>12</xdr:row>
                    <xdr:rowOff>0</xdr:rowOff>
                  </from>
                  <to>
                    <xdr:col>4</xdr:col>
                    <xdr:colOff>523875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Button 12">
              <controlPr defaultSize="0" print="0" autoFill="0" autoPict="0" macro="[0]!toggle_O2">
                <anchor moveWithCells="1" sizeWithCells="1">
                  <from>
                    <xdr:col>8</xdr:col>
                    <xdr:colOff>409575</xdr:colOff>
                    <xdr:row>31</xdr:row>
                    <xdr:rowOff>9525</xdr:rowOff>
                  </from>
                  <to>
                    <xdr:col>8</xdr:col>
                    <xdr:colOff>1095375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Button 13">
              <controlPr defaultSize="0" print="0" autoFill="0" autoPict="0" macro="[0]!toggle_O3">
                <anchor moveWithCells="1" sizeWithCells="1">
                  <from>
                    <xdr:col>8</xdr:col>
                    <xdr:colOff>409575</xdr:colOff>
                    <xdr:row>30</xdr:row>
                    <xdr:rowOff>9525</xdr:rowOff>
                  </from>
                  <to>
                    <xdr:col>8</xdr:col>
                    <xdr:colOff>1095375</xdr:colOff>
                    <xdr:row>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3" name="Button 14">
              <controlPr defaultSize="0" print="0" autoFill="0" autoPict="0" macro="[0]!toggle_O4">
                <anchor moveWithCells="1" sizeWithCells="1">
                  <from>
                    <xdr:col>8</xdr:col>
                    <xdr:colOff>400050</xdr:colOff>
                    <xdr:row>29</xdr:row>
                    <xdr:rowOff>9525</xdr:rowOff>
                  </from>
                  <to>
                    <xdr:col>8</xdr:col>
                    <xdr:colOff>1085850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4" name="Button 15">
              <controlPr defaultSize="0" print="0" autoFill="0" autoPict="0" macro="[0]!toggle_O5">
                <anchor moveWithCells="1" sizeWithCells="1">
                  <from>
                    <xdr:col>8</xdr:col>
                    <xdr:colOff>400050</xdr:colOff>
                    <xdr:row>28</xdr:row>
                    <xdr:rowOff>9525</xdr:rowOff>
                  </from>
                  <to>
                    <xdr:col>8</xdr:col>
                    <xdr:colOff>1085850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5" name="Button 16">
              <controlPr defaultSize="0" print="0" autoFill="0" autoPict="0" macro="[0]!toggle_O6">
                <anchor moveWithCells="1" sizeWithCells="1">
                  <from>
                    <xdr:col>8</xdr:col>
                    <xdr:colOff>400050</xdr:colOff>
                    <xdr:row>27</xdr:row>
                    <xdr:rowOff>9525</xdr:rowOff>
                  </from>
                  <to>
                    <xdr:col>8</xdr:col>
                    <xdr:colOff>1085850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6" name="Button 17">
              <controlPr defaultSize="0" print="0" autoFill="0" autoPict="0" macro="[0]!toggle_O12">
                <anchor moveWithCells="1" sizeWithCells="1">
                  <from>
                    <xdr:col>12</xdr:col>
                    <xdr:colOff>47625</xdr:colOff>
                    <xdr:row>29</xdr:row>
                    <xdr:rowOff>28575</xdr:rowOff>
                  </from>
                  <to>
                    <xdr:col>13</xdr:col>
                    <xdr:colOff>200025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7" name="Button 18">
              <controlPr defaultSize="0" print="0" autoFill="0" autoPict="0" macro="[0]!toggle_O13">
                <anchor moveWithCells="1" sizeWithCells="1">
                  <from>
                    <xdr:col>12</xdr:col>
                    <xdr:colOff>47625</xdr:colOff>
                    <xdr:row>28</xdr:row>
                    <xdr:rowOff>38100</xdr:rowOff>
                  </from>
                  <to>
                    <xdr:col>13</xdr:col>
                    <xdr:colOff>200025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8" name="Button 19">
              <controlPr defaultSize="0" print="0" autoFill="0" autoPict="0" macro="[0]!toggle_O14">
                <anchor moveWithCells="1" sizeWithCells="1">
                  <from>
                    <xdr:col>12</xdr:col>
                    <xdr:colOff>38100</xdr:colOff>
                    <xdr:row>27</xdr:row>
                    <xdr:rowOff>38100</xdr:rowOff>
                  </from>
                  <to>
                    <xdr:col>13</xdr:col>
                    <xdr:colOff>200025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9" name="Button 20">
              <controlPr defaultSize="0" print="0" autoFill="0" autoPict="0" macro="[0]!toggle_O15">
                <anchor moveWithCells="1" sizeWithCells="1">
                  <from>
                    <xdr:col>12</xdr:col>
                    <xdr:colOff>38100</xdr:colOff>
                    <xdr:row>26</xdr:row>
                    <xdr:rowOff>19050</xdr:rowOff>
                  </from>
                  <to>
                    <xdr:col>13</xdr:col>
                    <xdr:colOff>200025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0" name="Button 21">
              <controlPr defaultSize="0" print="0" autoFill="0" autoPict="0" macro="[0]!toggle_O16">
                <anchor moveWithCells="1" sizeWithCells="1">
                  <from>
                    <xdr:col>12</xdr:col>
                    <xdr:colOff>38100</xdr:colOff>
                    <xdr:row>25</xdr:row>
                    <xdr:rowOff>28575</xdr:rowOff>
                  </from>
                  <to>
                    <xdr:col>13</xdr:col>
                    <xdr:colOff>200025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1" name="Button 22">
              <controlPr defaultSize="0" print="0" autoFill="0" autoPict="0" macro="[0]!toggle_O7">
                <anchor moveWithCells="1" sizeWithCells="1">
                  <from>
                    <xdr:col>8</xdr:col>
                    <xdr:colOff>400050</xdr:colOff>
                    <xdr:row>26</xdr:row>
                    <xdr:rowOff>9525</xdr:rowOff>
                  </from>
                  <to>
                    <xdr:col>8</xdr:col>
                    <xdr:colOff>1085850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2" name="Button 23">
              <controlPr defaultSize="0" print="0" autoFill="0" autoPict="0" macro="[0]!toggle_O8">
                <anchor moveWithCells="1" sizeWithCells="1">
                  <from>
                    <xdr:col>8</xdr:col>
                    <xdr:colOff>400050</xdr:colOff>
                    <xdr:row>25</xdr:row>
                    <xdr:rowOff>9525</xdr:rowOff>
                  </from>
                  <to>
                    <xdr:col>8</xdr:col>
                    <xdr:colOff>1085850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3" name="Button 24">
              <controlPr defaultSize="0" print="0" autoFill="0" autoPict="0" macro="[0]!toggle_O9">
                <anchor moveWithCells="1" sizeWithCells="1">
                  <from>
                    <xdr:col>12</xdr:col>
                    <xdr:colOff>47625</xdr:colOff>
                    <xdr:row>32</xdr:row>
                    <xdr:rowOff>28575</xdr:rowOff>
                  </from>
                  <to>
                    <xdr:col>13</xdr:col>
                    <xdr:colOff>200025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4" name="Button 25">
              <controlPr defaultSize="0" print="0" autoFill="0" autoPict="0" macro="[0]!toggle_O10">
                <anchor moveWithCells="1" sizeWithCells="1">
                  <from>
                    <xdr:col>12</xdr:col>
                    <xdr:colOff>47625</xdr:colOff>
                    <xdr:row>31</xdr:row>
                    <xdr:rowOff>38100</xdr:rowOff>
                  </from>
                  <to>
                    <xdr:col>13</xdr:col>
                    <xdr:colOff>200025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5" name="Button 26">
              <controlPr defaultSize="0" print="0" autoFill="0" autoPict="0" macro="[0]!toggle_O11">
                <anchor moveWithCells="1" sizeWithCells="1">
                  <from>
                    <xdr:col>12</xdr:col>
                    <xdr:colOff>38100</xdr:colOff>
                    <xdr:row>30</xdr:row>
                    <xdr:rowOff>38100</xdr:rowOff>
                  </from>
                  <to>
                    <xdr:col>13</xdr:col>
                    <xdr:colOff>200025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Gautam</dc:creator>
  <cp:lastModifiedBy>Gautam</cp:lastModifiedBy>
  <dcterms:created xsi:type="dcterms:W3CDTF">2018-05-08T05:27:02Z</dcterms:created>
  <dcterms:modified xsi:type="dcterms:W3CDTF">2018-08-03T02:50:21Z</dcterms:modified>
</cp:coreProperties>
</file>