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20" windowWidth="27795" windowHeight="12585"/>
  </bookViews>
  <sheets>
    <sheet name="Sheet1" sheetId="1" r:id="rId1"/>
    <sheet name="Sheet2" sheetId="2" r:id="rId2"/>
    <sheet name="Sheet3" sheetId="3" r:id="rId3"/>
  </sheets>
  <functionGroups builtInGroupCount="17"/>
  <calcPr calcId="144525"/>
</workbook>
</file>

<file path=xl/calcChain.xml><?xml version="1.0" encoding="utf-8"?>
<calcChain xmlns="http://schemas.openxmlformats.org/spreadsheetml/2006/main">
  <c r="G5" i="1" l="1"/>
  <c r="C5" i="1"/>
  <c r="C7" i="1"/>
  <c r="D5" i="1"/>
  <c r="H7" i="1"/>
  <c r="H4" i="1"/>
  <c r="H8" i="1"/>
  <c r="H5" i="1"/>
  <c r="D7" i="1"/>
  <c r="D4" i="1"/>
  <c r="G8" i="1" l="1"/>
  <c r="G7" i="1"/>
  <c r="G4" i="1"/>
  <c r="C8" i="1"/>
  <c r="C4" i="1"/>
  <c r="F11" i="1"/>
  <c r="F10" i="1"/>
  <c r="B11" i="1"/>
  <c r="B10" i="1"/>
  <c r="D8" i="1"/>
  <c r="B1" i="1"/>
</calcChain>
</file>

<file path=xl/sharedStrings.xml><?xml version="1.0" encoding="utf-8"?>
<sst xmlns="http://schemas.openxmlformats.org/spreadsheetml/2006/main" count="26" uniqueCount="15">
  <si>
    <t>Velocity</t>
  </si>
  <si>
    <t>Acceleration</t>
  </si>
  <si>
    <t>Version</t>
  </si>
  <si>
    <t>Command Absolute</t>
  </si>
  <si>
    <t>Command Relative</t>
  </si>
  <si>
    <t>Current Position</t>
  </si>
  <si>
    <t>Target Position</t>
  </si>
  <si>
    <t>Slave 1</t>
  </si>
  <si>
    <t>Slave 2</t>
  </si>
  <si>
    <t>Connection Status</t>
  </si>
  <si>
    <t>Revolutions</t>
  </si>
  <si>
    <t>RPM</t>
  </si>
  <si>
    <t>Counts/Sec</t>
  </si>
  <si>
    <t>Counts</t>
  </si>
  <si>
    <t>Feedback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</si>
</sst>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16</xdr:row>
          <xdr:rowOff>19050</xdr:rowOff>
        </xdr:from>
        <xdr:to>
          <xdr:col>2</xdr:col>
          <xdr:colOff>352425</xdr:colOff>
          <xdr:row>18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Disconnect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16</xdr:row>
          <xdr:rowOff>28575</xdr:rowOff>
        </xdr:from>
        <xdr:to>
          <xdr:col>0</xdr:col>
          <xdr:colOff>1171575</xdr:colOff>
          <xdr:row>18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Connect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9</xdr:row>
          <xdr:rowOff>9525</xdr:rowOff>
        </xdr:from>
        <xdr:to>
          <xdr:col>0</xdr:col>
          <xdr:colOff>1238250</xdr:colOff>
          <xdr:row>10</xdr:row>
          <xdr:rowOff>9525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Target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10</xdr:row>
          <xdr:rowOff>19050</xdr:rowOff>
        </xdr:from>
        <xdr:to>
          <xdr:col>0</xdr:col>
          <xdr:colOff>1238250</xdr:colOff>
          <xdr:row>11</xdr:row>
          <xdr:rowOff>9525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Current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333375</xdr:colOff>
          <xdr:row>8</xdr:row>
          <xdr:rowOff>161925</xdr:rowOff>
        </xdr:from>
        <xdr:to>
          <xdr:col>5</xdr:col>
          <xdr:colOff>57150</xdr:colOff>
          <xdr:row>9</xdr:row>
          <xdr:rowOff>180975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Target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333375</xdr:colOff>
          <xdr:row>10</xdr:row>
          <xdr:rowOff>0</xdr:rowOff>
        </xdr:from>
        <xdr:to>
          <xdr:col>5</xdr:col>
          <xdr:colOff>57150</xdr:colOff>
          <xdr:row>10</xdr:row>
          <xdr:rowOff>180975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Current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85725</xdr:colOff>
          <xdr:row>12</xdr:row>
          <xdr:rowOff>0</xdr:rowOff>
        </xdr:from>
        <xdr:to>
          <xdr:col>4</xdr:col>
          <xdr:colOff>523875</xdr:colOff>
          <xdr:row>14</xdr:row>
          <xdr:rowOff>104775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16"/>
  <sheetViews>
    <sheetView tabSelected="1" workbookViewId="0">
      <selection activeCell="E17" sqref="E17"/>
    </sheetView>
  </sheetViews>
  <sheetFormatPr defaultRowHeight="15" x14ac:dyDescent="0.25"/>
  <cols>
    <col min="1" max="1" width="18.7109375" bestFit="1" customWidth="1"/>
    <col min="2" max="3" width="12" bestFit="1" customWidth="1"/>
    <col min="4" max="4" width="11" bestFit="1" customWidth="1"/>
    <col min="6" max="6" width="11.5703125" bestFit="1" customWidth="1"/>
    <col min="7" max="8" width="11" bestFit="1" customWidth="1"/>
    <col min="9" max="9" width="18.7109375" bestFit="1" customWidth="1"/>
  </cols>
  <sheetData>
    <row r="1" spans="1:9" x14ac:dyDescent="0.25">
      <c r="A1" t="s">
        <v>2</v>
      </c>
      <c r="B1">
        <f>ycoe_version()</f>
        <v>9.9999997764825821E-3</v>
      </c>
    </row>
    <row r="2" spans="1:9" x14ac:dyDescent="0.25">
      <c r="B2" s="2" t="s">
        <v>7</v>
      </c>
      <c r="C2" s="2"/>
      <c r="D2" s="2"/>
      <c r="F2" s="2" t="s">
        <v>8</v>
      </c>
      <c r="G2" s="2"/>
      <c r="H2" s="2"/>
    </row>
    <row r="3" spans="1:9" x14ac:dyDescent="0.25">
      <c r="B3" s="1" t="s">
        <v>11</v>
      </c>
      <c r="C3" s="1" t="s">
        <v>12</v>
      </c>
      <c r="D3" s="1" t="s">
        <v>14</v>
      </c>
      <c r="F3" s="1" t="s">
        <v>11</v>
      </c>
      <c r="G3" s="1" t="s">
        <v>12</v>
      </c>
      <c r="H3" s="1" t="s">
        <v>14</v>
      </c>
    </row>
    <row r="4" spans="1:9" x14ac:dyDescent="0.25">
      <c r="A4" s="1" t="s">
        <v>0</v>
      </c>
      <c r="B4" s="1">
        <v>1000</v>
      </c>
      <c r="C4" s="1">
        <f>B4*1048576/60</f>
        <v>17476266.666666668</v>
      </c>
      <c r="D4" s="1">
        <f>set_speed(1,C4)</f>
        <v>17476267</v>
      </c>
      <c r="F4" s="1">
        <v>1000</v>
      </c>
      <c r="G4" s="1">
        <f>F4*1048576/60</f>
        <v>17476266.666666668</v>
      </c>
      <c r="H4" s="1">
        <f>set_speed(2,G4)</f>
        <v>-1</v>
      </c>
      <c r="I4" s="1" t="s">
        <v>0</v>
      </c>
    </row>
    <row r="5" spans="1:9" x14ac:dyDescent="0.25">
      <c r="A5" s="1" t="s">
        <v>1</v>
      </c>
      <c r="B5" s="1">
        <v>100</v>
      </c>
      <c r="C5" s="1">
        <f>B5*1048576/60</f>
        <v>1747626.6666666667</v>
      </c>
      <c r="D5" s="1">
        <f>set_acceleration(1,C5)</f>
        <v>1747627</v>
      </c>
      <c r="F5" s="1">
        <v>1024</v>
      </c>
      <c r="G5" s="1">
        <f>F5*1048576/60</f>
        <v>17895697.066666666</v>
      </c>
      <c r="H5" s="1">
        <f>set_acceleration(2,G5)</f>
        <v>-1</v>
      </c>
      <c r="I5" s="1" t="s">
        <v>1</v>
      </c>
    </row>
    <row r="6" spans="1:9" x14ac:dyDescent="0.25">
      <c r="B6" s="1" t="s">
        <v>10</v>
      </c>
      <c r="C6" s="1" t="s">
        <v>13</v>
      </c>
      <c r="D6" s="1" t="s">
        <v>14</v>
      </c>
      <c r="F6" s="1" t="s">
        <v>10</v>
      </c>
      <c r="G6" s="1" t="s">
        <v>13</v>
      </c>
      <c r="H6" s="1" t="s">
        <v>14</v>
      </c>
    </row>
    <row r="7" spans="1:9" x14ac:dyDescent="0.25">
      <c r="A7" s="1" t="s">
        <v>3</v>
      </c>
      <c r="B7" s="1">
        <v>1000</v>
      </c>
      <c r="C7" s="1">
        <f>B7*1048576</f>
        <v>1048576000</v>
      </c>
      <c r="D7" s="1">
        <f>goto_abspos(1,C7)</f>
        <v>1048576000</v>
      </c>
      <c r="F7" s="1">
        <v>100</v>
      </c>
      <c r="G7" s="1">
        <f>F7*1048576</f>
        <v>104857600</v>
      </c>
      <c r="H7" s="1">
        <f>goto_abspos(2,G7)</f>
        <v>-1</v>
      </c>
      <c r="I7" s="1" t="s">
        <v>3</v>
      </c>
    </row>
    <row r="8" spans="1:9" x14ac:dyDescent="0.25">
      <c r="A8" s="1" t="s">
        <v>4</v>
      </c>
      <c r="B8" s="1">
        <v>-1500</v>
      </c>
      <c r="C8" s="1">
        <f>B8*1048576</f>
        <v>-1572864000</v>
      </c>
      <c r="D8" s="1">
        <f>goto_relpos(1,C8)</f>
        <v>-1</v>
      </c>
      <c r="F8" s="1">
        <v>10</v>
      </c>
      <c r="G8" s="1">
        <f>F8*1048576</f>
        <v>10485760</v>
      </c>
      <c r="H8" s="1">
        <f>goto_relpos(2,G8)</f>
        <v>-1</v>
      </c>
      <c r="I8" s="1" t="s">
        <v>4</v>
      </c>
    </row>
    <row r="10" spans="1:9" x14ac:dyDescent="0.25">
      <c r="A10" t="s">
        <v>6</v>
      </c>
      <c r="B10">
        <f>C10/1048576</f>
        <v>0</v>
      </c>
      <c r="C10">
        <v>0</v>
      </c>
      <c r="F10">
        <f>G10/1048576</f>
        <v>0</v>
      </c>
      <c r="G10">
        <v>0</v>
      </c>
    </row>
    <row r="11" spans="1:9" x14ac:dyDescent="0.25">
      <c r="A11" t="s">
        <v>5</v>
      </c>
      <c r="B11">
        <f>C11/1048576</f>
        <v>0</v>
      </c>
      <c r="C11">
        <v>0</v>
      </c>
      <c r="F11">
        <f>G11/1048576</f>
        <v>0</v>
      </c>
      <c r="G11">
        <v>0</v>
      </c>
    </row>
    <row r="16" spans="1:9" x14ac:dyDescent="0.25">
      <c r="A16" t="s">
        <v>9</v>
      </c>
      <c r="B16">
        <v>1</v>
      </c>
      <c r="F16">
        <v>1</v>
      </c>
    </row>
  </sheetData>
  <mergeCells count="2">
    <mergeCell ref="B2:D2"/>
    <mergeCell ref="F2:H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Disconnect_Click">
                <anchor moveWithCells="1" sizeWithCells="1">
                  <from>
                    <xdr:col>1</xdr:col>
                    <xdr:colOff>76200</xdr:colOff>
                    <xdr:row>16</xdr:row>
                    <xdr:rowOff>19050</xdr:rowOff>
                  </from>
                  <to>
                    <xdr:col>2</xdr:col>
                    <xdr:colOff>352425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onnect_Click">
                <anchor moveWithCells="1" sizeWithCells="1">
                  <from>
                    <xdr:col>0</xdr:col>
                    <xdr:colOff>123825</xdr:colOff>
                    <xdr:row>16</xdr:row>
                    <xdr:rowOff>28575</xdr:rowOff>
                  </from>
                  <to>
                    <xdr:col>0</xdr:col>
                    <xdr:colOff>1171575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GetTarPos1_Click">
                <anchor moveWithCells="1" sizeWithCells="1">
                  <from>
                    <xdr:col>0</xdr:col>
                    <xdr:colOff>28575</xdr:colOff>
                    <xdr:row>9</xdr:row>
                    <xdr:rowOff>9525</xdr:rowOff>
                  </from>
                  <to>
                    <xdr:col>0</xdr:col>
                    <xdr:colOff>1238250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GetCurPos1_Click">
                <anchor moveWithCells="1" sizeWithCells="1">
                  <from>
                    <xdr:col>0</xdr:col>
                    <xdr:colOff>19050</xdr:colOff>
                    <xdr:row>10</xdr:row>
                    <xdr:rowOff>19050</xdr:rowOff>
                  </from>
                  <to>
                    <xdr:col>0</xdr:col>
                    <xdr:colOff>1238250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GetTarPos2_Click">
                <anchor moveWithCells="1" sizeWithCells="1">
                  <from>
                    <xdr:col>3</xdr:col>
                    <xdr:colOff>333375</xdr:colOff>
                    <xdr:row>8</xdr:row>
                    <xdr:rowOff>161925</xdr:rowOff>
                  </from>
                  <to>
                    <xdr:col>5</xdr:col>
                    <xdr:colOff>57150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Button 10">
              <controlPr defaultSize="0" print="0" autoFill="0" autoPict="0" macro="[0]!GetCurPos2_Click">
                <anchor moveWithCells="1" sizeWithCells="1">
                  <from>
                    <xdr:col>3</xdr:col>
                    <xdr:colOff>333375</xdr:colOff>
                    <xdr:row>10</xdr:row>
                    <xdr:rowOff>0</xdr:rowOff>
                  </from>
                  <to>
                    <xdr:col>5</xdr:col>
                    <xdr:colOff>57150</xdr:colOff>
                    <xdr:row>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Button 11">
              <controlPr defaultSize="0" print="0" autoFill="0" autoPict="0" macro="[0]!Stop_Click">
                <anchor moveWithCells="1" sizeWithCells="1">
                  <from>
                    <xdr:col>1</xdr:col>
                    <xdr:colOff>85725</xdr:colOff>
                    <xdr:row>12</xdr:row>
                    <xdr:rowOff>0</xdr:rowOff>
                  </from>
                  <to>
                    <xdr:col>4</xdr:col>
                    <xdr:colOff>523875</xdr:colOff>
                    <xdr:row>14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Gautam</dc:creator>
  <cp:lastModifiedBy>Gautam</cp:lastModifiedBy>
  <dcterms:created xsi:type="dcterms:W3CDTF">2018-05-08T05:27:02Z</dcterms:created>
  <dcterms:modified xsi:type="dcterms:W3CDTF">2018-06-25T07:31:44Z</dcterms:modified>
</cp:coreProperties>
</file>